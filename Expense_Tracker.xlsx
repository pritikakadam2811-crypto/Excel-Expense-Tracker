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nit\OneDrive\Documents\"/>
    </mc:Choice>
  </mc:AlternateContent>
  <xr:revisionPtr revIDLastSave="0" documentId="13_ncr:1_{59D2C2CD-F285-42CA-89D0-8BAD2D58BE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3 july" sheetId="1" r:id="rId1"/>
    <sheet name="14 jul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J5" i="1" s="1"/>
  <c r="F2" i="1"/>
  <c r="J8" i="1" s="1"/>
  <c r="J10" i="1"/>
  <c r="J9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J4" i="1"/>
  <c r="J3" i="1"/>
  <c r="J7" i="1" l="1"/>
  <c r="J6" i="1"/>
</calcChain>
</file>

<file path=xl/sharedStrings.xml><?xml version="1.0" encoding="utf-8"?>
<sst xmlns="http://schemas.openxmlformats.org/spreadsheetml/2006/main" count="36" uniqueCount="30">
  <si>
    <t>S no</t>
  </si>
  <si>
    <t>Description</t>
  </si>
  <si>
    <t>Type</t>
  </si>
  <si>
    <t>Amount</t>
  </si>
  <si>
    <t>Lunch</t>
  </si>
  <si>
    <t>food</t>
  </si>
  <si>
    <t>Tea</t>
  </si>
  <si>
    <t>Drink</t>
  </si>
  <si>
    <t>Cofee</t>
  </si>
  <si>
    <t>Pasta</t>
  </si>
  <si>
    <t>Car</t>
  </si>
  <si>
    <t>House</t>
  </si>
  <si>
    <t>Food</t>
  </si>
  <si>
    <t>Vehicle</t>
  </si>
  <si>
    <t>Investment</t>
  </si>
  <si>
    <t>Total of the day</t>
  </si>
  <si>
    <t>TV</t>
  </si>
  <si>
    <t>Electronics</t>
  </si>
  <si>
    <t>Biscuits</t>
  </si>
  <si>
    <t>Soap</t>
  </si>
  <si>
    <t>Formal shirt</t>
  </si>
  <si>
    <t>Cloths</t>
  </si>
  <si>
    <t>Average Transaction of the day</t>
  </si>
  <si>
    <t>Glossary expences</t>
  </si>
  <si>
    <t>Glossary</t>
  </si>
  <si>
    <t>Drink expences</t>
  </si>
  <si>
    <t>Average glossary expense</t>
  </si>
  <si>
    <t>Average Drink expense</t>
  </si>
  <si>
    <t>Food expences</t>
  </si>
  <si>
    <t>Average Food expences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</si>
</sst>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3" sqref="D3"/>
    </sheetView>
  </sheetViews>
  <sheetFormatPr defaultRowHeight="15" x14ac:dyDescent="0.25"/>
  <cols>
    <col min="1" max="7" width="17" customWidth="1"/>
    <col min="8" max="10" width="17.5703125" customWidth="1"/>
  </cols>
  <sheetData>
    <row r="1" spans="1:10" ht="30" customHeight="1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24</v>
      </c>
      <c r="F1" s="12" t="s">
        <v>7</v>
      </c>
      <c r="G1" s="13" t="s">
        <v>12</v>
      </c>
    </row>
    <row r="2" spans="1:10" ht="30" customHeight="1" x14ac:dyDescent="0.25">
      <c r="A2" s="14">
        <v>1</v>
      </c>
      <c r="B2" s="15" t="s">
        <v>4</v>
      </c>
      <c r="C2" s="15" t="s">
        <v>5</v>
      </c>
      <c r="D2" s="15">
        <v>34</v>
      </c>
      <c r="E2" s="15">
        <f>COUNTIF(C2,"Glossary")*D2</f>
        <v>0</v>
      </c>
      <c r="F2" s="15">
        <f>COUNTIF(C2,"Drink")*D2</f>
        <v>0</v>
      </c>
      <c r="G2" s="16">
        <f>COUNTIF(C2,"Food")*D2</f>
        <v>34</v>
      </c>
      <c r="H2" s="1"/>
      <c r="I2" s="9"/>
      <c r="J2" s="10" t="s">
        <v>3</v>
      </c>
    </row>
    <row r="3" spans="1:10" ht="30" customHeight="1" x14ac:dyDescent="0.25">
      <c r="A3" s="14">
        <v>2</v>
      </c>
      <c r="B3" s="15" t="s">
        <v>6</v>
      </c>
      <c r="C3" s="15" t="s">
        <v>7</v>
      </c>
      <c r="D3" s="15">
        <v>50</v>
      </c>
      <c r="E3" s="15">
        <f t="shared" ref="E3:E11" si="0">COUNTIF(C3,"Glossary")*D3</f>
        <v>0</v>
      </c>
      <c r="F3" s="15">
        <f t="shared" ref="F3:F11" si="1">COUNTIF(C3,"Drink")*D3</f>
        <v>50</v>
      </c>
      <c r="G3" s="16">
        <f t="shared" ref="G3:G11" si="2">COUNTIF(C3,"Food")*D3</f>
        <v>0</v>
      </c>
      <c r="H3" s="2"/>
      <c r="I3" s="3" t="s">
        <v>15</v>
      </c>
      <c r="J3" s="4">
        <f>SUM(D2:D11)</f>
        <v>450989</v>
      </c>
    </row>
    <row r="4" spans="1:10" ht="30" customHeight="1" x14ac:dyDescent="0.25">
      <c r="A4" s="14">
        <v>3</v>
      </c>
      <c r="B4" s="15" t="s">
        <v>8</v>
      </c>
      <c r="C4" s="15" t="s">
        <v>7</v>
      </c>
      <c r="D4" s="15">
        <v>60</v>
      </c>
      <c r="E4" s="15">
        <f t="shared" si="0"/>
        <v>0</v>
      </c>
      <c r="F4" s="15">
        <f t="shared" si="1"/>
        <v>60</v>
      </c>
      <c r="G4" s="16">
        <f t="shared" si="2"/>
        <v>0</v>
      </c>
      <c r="H4" s="1"/>
      <c r="I4" s="5" t="s">
        <v>22</v>
      </c>
      <c r="J4" s="6">
        <f>AVERAGE(D2:D11)</f>
        <v>45098.9</v>
      </c>
    </row>
    <row r="5" spans="1:10" ht="30" customHeight="1" x14ac:dyDescent="0.25">
      <c r="A5" s="14">
        <v>4</v>
      </c>
      <c r="B5" s="15" t="s">
        <v>9</v>
      </c>
      <c r="C5" s="15" t="s">
        <v>12</v>
      </c>
      <c r="D5" s="15">
        <v>45</v>
      </c>
      <c r="E5" s="15">
        <f t="shared" si="0"/>
        <v>0</v>
      </c>
      <c r="F5" s="15">
        <f t="shared" si="1"/>
        <v>0</v>
      </c>
      <c r="G5" s="16">
        <f t="shared" si="2"/>
        <v>45</v>
      </c>
      <c r="H5" s="1"/>
      <c r="I5" s="3" t="s">
        <v>23</v>
      </c>
      <c r="J5" s="4">
        <f>SUM(E2:E11)</f>
        <v>300</v>
      </c>
    </row>
    <row r="6" spans="1:10" ht="30" customHeight="1" x14ac:dyDescent="0.25">
      <c r="A6" s="14">
        <v>5</v>
      </c>
      <c r="B6" s="15" t="s">
        <v>10</v>
      </c>
      <c r="C6" s="15" t="s">
        <v>13</v>
      </c>
      <c r="D6" s="15">
        <v>150000</v>
      </c>
      <c r="E6" s="15">
        <f t="shared" si="0"/>
        <v>0</v>
      </c>
      <c r="F6" s="15">
        <f t="shared" si="1"/>
        <v>0</v>
      </c>
      <c r="G6" s="16">
        <f t="shared" si="2"/>
        <v>0</v>
      </c>
      <c r="H6" s="2"/>
      <c r="I6" s="3" t="s">
        <v>25</v>
      </c>
      <c r="J6" s="4">
        <f>SUM(F2:F11)</f>
        <v>110</v>
      </c>
    </row>
    <row r="7" spans="1:10" ht="30" customHeight="1" x14ac:dyDescent="0.25">
      <c r="A7" s="14">
        <v>6</v>
      </c>
      <c r="B7" s="15" t="s">
        <v>11</v>
      </c>
      <c r="C7" s="15" t="s">
        <v>14</v>
      </c>
      <c r="D7" s="15">
        <v>250000</v>
      </c>
      <c r="E7" s="15">
        <f t="shared" si="0"/>
        <v>0</v>
      </c>
      <c r="F7" s="15">
        <f t="shared" si="1"/>
        <v>0</v>
      </c>
      <c r="G7" s="16">
        <f t="shared" si="2"/>
        <v>0</v>
      </c>
      <c r="H7" s="2"/>
      <c r="I7" s="5" t="s">
        <v>26</v>
      </c>
      <c r="J7" s="6">
        <f>AVERAGE(E2:E11)</f>
        <v>30</v>
      </c>
    </row>
    <row r="8" spans="1:10" ht="30" customHeight="1" x14ac:dyDescent="0.25">
      <c r="A8" s="14">
        <v>7</v>
      </c>
      <c r="B8" s="15" t="s">
        <v>16</v>
      </c>
      <c r="C8" s="15" t="s">
        <v>17</v>
      </c>
      <c r="D8" s="15">
        <v>50000</v>
      </c>
      <c r="E8" s="15">
        <f t="shared" si="0"/>
        <v>0</v>
      </c>
      <c r="F8" s="15">
        <f t="shared" si="1"/>
        <v>0</v>
      </c>
      <c r="G8" s="16">
        <f t="shared" si="2"/>
        <v>0</v>
      </c>
      <c r="I8" s="5" t="s">
        <v>27</v>
      </c>
      <c r="J8" s="6">
        <f>AVERAGE(F2:F11)</f>
        <v>11</v>
      </c>
    </row>
    <row r="9" spans="1:10" ht="30" customHeight="1" x14ac:dyDescent="0.25">
      <c r="A9" s="14">
        <v>8</v>
      </c>
      <c r="B9" s="15" t="s">
        <v>18</v>
      </c>
      <c r="C9" s="15" t="s">
        <v>24</v>
      </c>
      <c r="D9" s="15">
        <v>100</v>
      </c>
      <c r="E9" s="15">
        <f t="shared" si="0"/>
        <v>100</v>
      </c>
      <c r="F9" s="15">
        <f t="shared" si="1"/>
        <v>0</v>
      </c>
      <c r="G9" s="16">
        <f t="shared" si="2"/>
        <v>0</v>
      </c>
      <c r="I9" s="5" t="s">
        <v>28</v>
      </c>
      <c r="J9" s="4">
        <f>SUM(G2:G11)</f>
        <v>79</v>
      </c>
    </row>
    <row r="10" spans="1:10" ht="30" customHeight="1" thickBot="1" x14ac:dyDescent="0.3">
      <c r="A10" s="14">
        <v>9</v>
      </c>
      <c r="B10" s="15" t="s">
        <v>19</v>
      </c>
      <c r="C10" s="15" t="s">
        <v>24</v>
      </c>
      <c r="D10" s="15">
        <v>200</v>
      </c>
      <c r="E10" s="15">
        <f t="shared" si="0"/>
        <v>200</v>
      </c>
      <c r="F10" s="15">
        <f t="shared" si="1"/>
        <v>0</v>
      </c>
      <c r="G10" s="16">
        <f t="shared" si="2"/>
        <v>0</v>
      </c>
      <c r="I10" s="7" t="s">
        <v>29</v>
      </c>
      <c r="J10" s="8">
        <f>AVERAGE(G2:G11)</f>
        <v>7.9</v>
      </c>
    </row>
    <row r="11" spans="1:10" ht="30" customHeight="1" thickBot="1" x14ac:dyDescent="0.3">
      <c r="A11" s="17">
        <v>10</v>
      </c>
      <c r="B11" s="18" t="s">
        <v>20</v>
      </c>
      <c r="C11" s="18" t="s">
        <v>21</v>
      </c>
      <c r="D11" s="18">
        <v>500</v>
      </c>
      <c r="E11" s="18">
        <f t="shared" si="0"/>
        <v>0</v>
      </c>
      <c r="F11" s="18">
        <f t="shared" si="1"/>
        <v>0</v>
      </c>
      <c r="G11" s="19">
        <f t="shared" si="2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92CB-9166-45BB-9FE1-36CB443B6B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 july</vt:lpstr>
      <vt:lpstr>14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</dc:creator>
  <cp:lastModifiedBy>Vinit Kadam</cp:lastModifiedBy>
  <dcterms:created xsi:type="dcterms:W3CDTF">2015-06-05T18:17:20Z</dcterms:created>
  <dcterms:modified xsi:type="dcterms:W3CDTF">2026-08-02T09:14:35Z</dcterms:modified>
</cp:coreProperties>
</file>